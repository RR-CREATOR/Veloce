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<sst xmlns="http://schemas.openxmlformats.org/spreadsheetml/2006/main" count="90" uniqueCount="87">
  <si>
    <t>Item</t>
  </si>
  <si>
    <t>Quantity</t>
  </si>
  <si>
    <t>Price ($)</t>
  </si>
  <si>
    <t>Total</t>
  </si>
  <si>
    <t>Link</t>
  </si>
  <si>
    <t>Notes</t>
  </si>
  <si>
    <t>Alternate links</t>
  </si>
  <si>
    <t>Printhead</t>
  </si>
  <si>
    <t>Hotend</t>
  </si>
  <si>
    <t>TZ-E3 2.0 clone/og???? idk but it has sm specs ig (max 33 flow rate)</t>
  </si>
  <si>
    <t>Custom Sherpa Micro</t>
  </si>
  <si>
    <t>Using Bmg internals and motor</t>
  </si>
  <si>
    <t>5015 Blower</t>
  </si>
  <si>
    <r>
      <rPr>
        <rFont val="Calibri, sans-serif"/>
        <color rgb="FF1155CC"/>
        <sz val="11.0"/>
        <u/>
      </rPr>
      <t>https://robu.in/product/6028-24vdc-0-1a-turbo-blower-cooling-fan/</t>
    </r>
  </si>
  <si>
    <t>For cooling prints</t>
  </si>
  <si>
    <t>4010 Cooling Fan</t>
  </si>
  <si>
    <r>
      <rPr>
        <rFont val="Calibri, sans-serif"/>
        <color rgb="FF1155CC"/>
        <sz val="11.0"/>
        <u/>
      </rPr>
      <t>https://novo3d.in/cooling-fan-6015/?attribute_type=24V</t>
    </r>
  </si>
  <si>
    <t>One is for motherboard and one for heatbreak</t>
  </si>
  <si>
    <t>BTT Klicky D2H V1.0</t>
  </si>
  <si>
    <t>Klicky klick klick</t>
  </si>
  <si>
    <t>https://www.zee3d.in/shipping-and-returns</t>
  </si>
  <si>
    <t>ADXL345 generic accelerometer</t>
  </si>
  <si>
    <r>
      <rPr>
        <rFont val="Calibri, sans-serif"/>
        <color rgb="FF1155CC"/>
        <sz val="11.0"/>
        <u/>
      </rPr>
      <t>https://robu.in/product/adxl345-tripple-axis-accelerometer-board/?gad_source=1&amp;gclid=CjwKCAiAk8G9BhA0EiwAOQxmftSwW6y_x3ChiR5kRHCB6uTmx7kgATjJQJ_65DBku9d8_0oVGgI_8BoCdvQQAvD_BwE</t>
    </r>
  </si>
  <si>
    <t>For input shaping</t>
  </si>
  <si>
    <t>Control n Power</t>
  </si>
  <si>
    <t>24V 20A 480W PSU</t>
  </si>
  <si>
    <t>Getting from local shop, so no link</t>
  </si>
  <si>
    <t>Main Control Board</t>
  </si>
  <si>
    <t>Can support upto 6 motors, need it as using double z. Also it works at supr high speeds</t>
  </si>
  <si>
    <t>6015 Cooling Fan</t>
  </si>
  <si>
    <r>
      <rPr>
        <rFont val="Calibri, sans-serif"/>
        <color rgb="FF1155CC"/>
        <sz val="11.0"/>
        <u/>
      </rPr>
      <t>https://novo3d.in/cooling-fan-6015/?attribute_type=24V</t>
    </r>
  </si>
  <si>
    <t>For motherboard</t>
  </si>
  <si>
    <t>Frame</t>
  </si>
  <si>
    <t>500mm 3030 4T extrusion</t>
  </si>
  <si>
    <t>Aluminium extrusions for frame</t>
  </si>
  <si>
    <t>500mm 2020 4T extrusion</t>
  </si>
  <si>
    <t>For supporting X axis</t>
  </si>
  <si>
    <t>Linear rails for x and y axis</t>
  </si>
  <si>
    <t>40cm mgn12h with block [Couldnt find cheaper :( ]</t>
  </si>
  <si>
    <t>3030 corner right joint</t>
  </si>
  <si>
    <t>Corner joints, place holders as would be using other attachers, but price would be sm roughly</t>
  </si>
  <si>
    <t>Linear Rods</t>
  </si>
  <si>
    <t>400mm linear rods, 8mm dia</t>
  </si>
  <si>
    <t>Lead Screw 30cm</t>
  </si>
  <si>
    <t>2 lead screws as am gonna make a double z axis for better quality and adjustment</t>
  </si>
  <si>
    <t>Motors</t>
  </si>
  <si>
    <t>Nema 17 for X and Y (5.5)</t>
  </si>
  <si>
    <t>5.5kgcm nema 17 with low inductance for high speed and accel</t>
  </si>
  <si>
    <t>https://dc3d.in/shop/voron-v2-4-parts/ldo-nema-17-stepper-motor-ldo-42sth48-2504ac/</t>
  </si>
  <si>
    <t>Nema 17 Z axis and extruder (4.4)</t>
  </si>
  <si>
    <t>4.4kgcm Nema 17 for Z axis and extruder</t>
  </si>
  <si>
    <t>BTT TMC2209 V1.3</t>
  </si>
  <si>
    <t>Drivers for motors</t>
  </si>
  <si>
    <t>Kinematics</t>
  </si>
  <si>
    <t>GT2 Timing Pulley x2</t>
  </si>
  <si>
    <r>
      <rPr>
        <rFont val="Calibri, sans-serif"/>
        <color rgb="FF1155CC"/>
        <sz val="11.0"/>
        <u/>
      </rPr>
      <t>https://robu.in/product/aluminum-gt2-timing-pulley-for-6mm-belt-20-tooth-5mm-bore-2pcs/</t>
    </r>
  </si>
  <si>
    <t>For corexy</t>
  </si>
  <si>
    <t>GT2 Idler Pulley x2</t>
  </si>
  <si>
    <r>
      <rPr>
        <rFont val="Calibri, sans-serif"/>
        <color rgb="FF1155CC"/>
        <sz val="11.0"/>
        <u/>
      </rPr>
      <t>https://robu.in/product/aluminum-gt2-timing-idler-pulley-6mm-belt-20-tooth-5mm-bore-2pcs/</t>
    </r>
  </si>
  <si>
    <t>GT2 Smooth Pulley x2</t>
  </si>
  <si>
    <r>
      <rPr>
        <rFont val="Calibri, sans-serif"/>
        <color rgb="FF1155CC"/>
        <sz val="11.0"/>
        <u/>
      </rPr>
      <t>https://robu.in/product/2pcs-x-gt2-aluminium-pulley-without-20-teeth-5mm-bore-6mm-belt/</t>
    </r>
  </si>
  <si>
    <t>GT2 6mm Timing Belt</t>
  </si>
  <si>
    <t>Coupler</t>
  </si>
  <si>
    <t>Couplers for screw and nema 17</t>
  </si>
  <si>
    <t>Linear Bearings 8mm</t>
  </si>
  <si>
    <r>
      <rPr>
        <rFont val="Calibri, sans-serif"/>
        <color rgb="FF1155CC"/>
        <sz val="11.0"/>
        <u/>
      </rPr>
      <t>https://robu.in/product/lm8uu-8-mm-linear-bearings-linear-motion-bearing/</t>
    </r>
  </si>
  <si>
    <t>Bearings for linear rods</t>
  </si>
  <si>
    <t>Other/Misc.</t>
  </si>
  <si>
    <t>Heatbed</t>
  </si>
  <si>
    <t>CUSTOM PCB</t>
  </si>
  <si>
    <t>Printbed</t>
  </si>
  <si>
    <t>Magnetic print bed</t>
  </si>
  <si>
    <t>M4 40mm Screws</t>
  </si>
  <si>
    <t>M4 countersunk screws to screw in heatbed</t>
  </si>
  <si>
    <t>Spacer Springs x4</t>
  </si>
  <si>
    <t>Springs to allow for manual levelling and providing space</t>
  </si>
  <si>
    <t>Wing Nut x10</t>
  </si>
  <si>
    <t>Wing nut for screws, easier to adjust bed</t>
  </si>
  <si>
    <t>Aluminium Sheet for base carriage (25x25x3)</t>
  </si>
  <si>
    <t>Aluminium sheet for better heat distribution below bed, and for giving rigidity</t>
  </si>
  <si>
    <t>Cork Sheet</t>
  </si>
  <si>
    <t>Cork sheet as heat inslutor to prevent petg bed mount from melting ;)</t>
  </si>
  <si>
    <t>MISC NUTS</t>
  </si>
  <si>
    <t>nuts</t>
  </si>
  <si>
    <t>MISC SCREWS</t>
  </si>
  <si>
    <t>screws</t>
  </si>
  <si>
    <t xml:space="preserve">Final: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</si>
</sst>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Calibri"/>
    </font>
    <font>
      <b/>
      <i/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b/>
      <i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right" readingOrder="0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5" displayName="Table1" name="Table1" id="1">
  <tableColumns count="7">
    <tableColumn name="Item" id="1"/>
    <tableColumn name="Quantity" id="2"/>
    <tableColumn name="Price ($)" id="3"/>
    <tableColumn name="Total" id="4"/>
    <tableColumn name="Link" id="5"/>
    <tableColumn name="Notes" id="6"/>
    <tableColumn name="Alternate link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bu.in/product/6028-24vdc-0-1a-turbo-blower-cooling-fan/" TargetMode="External"/><Relationship Id="rId2" Type="http://schemas.openxmlformats.org/officeDocument/2006/relationships/hyperlink" Target="https://novo3d.in/cooling-fan-6015/?attribute_type=24V" TargetMode="External"/><Relationship Id="rId3" Type="http://schemas.openxmlformats.org/officeDocument/2006/relationships/hyperlink" Target="https://www.zee3d.in/shipping-and-returns" TargetMode="External"/><Relationship Id="rId4" Type="http://schemas.openxmlformats.org/officeDocument/2006/relationships/hyperlink" Target="https://robu.in/product/adxl345-tripple-axis-accelerometer-board/?gad_source=1&amp;gclid=CjwKCAiAk8G9BhA0EiwAOQxmftSwW6y_x3ChiR5kRHCB6uTmx7kgATjJQJ_65DBku9d8_0oVGgI_8BoCdvQQAvD_BwE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robu.in/product/lm8uu-8-mm-linear-bearings-linear-motion-bearing/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robu.in/product/2pcs-x-gt2-aluminium-pulley-without-20-teeth-5mm-bore-6mm-belt/" TargetMode="External"/><Relationship Id="rId5" Type="http://schemas.openxmlformats.org/officeDocument/2006/relationships/hyperlink" Target="https://novo3d.in/cooling-fan-6015/?attribute_type=24V" TargetMode="External"/><Relationship Id="rId6" Type="http://schemas.openxmlformats.org/officeDocument/2006/relationships/hyperlink" Target="https://dc3d.in/shop/voron-v2-4-parts/ldo-nema-17-stepper-motor-ldo-42sth48-2504ac/" TargetMode="External"/><Relationship Id="rId7" Type="http://schemas.openxmlformats.org/officeDocument/2006/relationships/hyperlink" Target="https://robu.in/product/aluminum-gt2-timing-pulley-for-6mm-belt-20-tooth-5mm-bore-2pcs/" TargetMode="External"/><Relationship Id="rId8" Type="http://schemas.openxmlformats.org/officeDocument/2006/relationships/hyperlink" Target="https://robu.in/product/aluminum-gt2-timing-idler-pulley-6mm-belt-20-tooth-5mm-bore-2p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6.5"/>
    <col customWidth="1" min="3" max="3" width="16.0"/>
    <col customWidth="1" min="4" max="4" width="12.88"/>
    <col customWidth="1" min="5" max="5" width="37.63"/>
    <col customWidth="1" min="6" max="6" width="72.13"/>
    <col customWidth="1" min="7" max="7" width="3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4"/>
      <c r="C2" s="4"/>
      <c r="D2" s="4"/>
      <c r="G2" s="5"/>
    </row>
    <row r="3" ht="22.5" customHeight="1">
      <c r="A3" s="6" t="s">
        <v>8</v>
      </c>
      <c r="B3" s="7">
        <v>1.0</v>
      </c>
      <c r="C3" s="8">
        <v>12.0</v>
      </c>
      <c r="D3" s="9">
        <f t="shared" ref="D3:D8" si="1">B3*C3</f>
        <v>12</v>
      </c>
      <c r="F3" s="6" t="s">
        <v>9</v>
      </c>
      <c r="G3" s="10"/>
    </row>
    <row r="4" ht="22.5" customHeight="1">
      <c r="A4" s="6" t="s">
        <v>10</v>
      </c>
      <c r="B4" s="7">
        <v>1.0</v>
      </c>
      <c r="C4" s="11">
        <v>10.0</v>
      </c>
      <c r="D4" s="9">
        <f t="shared" si="1"/>
        <v>10</v>
      </c>
      <c r="E4" s="12"/>
      <c r="F4" s="6" t="s">
        <v>11</v>
      </c>
      <c r="G4" s="10"/>
    </row>
    <row r="5" ht="22.5" customHeight="1">
      <c r="A5" s="6" t="s">
        <v>12</v>
      </c>
      <c r="B5" s="7">
        <v>2.0</v>
      </c>
      <c r="C5" s="7">
        <v>1.43</v>
      </c>
      <c r="D5" s="9">
        <f t="shared" si="1"/>
        <v>2.86</v>
      </c>
      <c r="E5" s="13" t="s">
        <v>13</v>
      </c>
      <c r="F5" s="6" t="s">
        <v>14</v>
      </c>
      <c r="G5" s="10"/>
    </row>
    <row r="6" ht="22.5" customHeight="1">
      <c r="A6" s="6" t="s">
        <v>15</v>
      </c>
      <c r="B6" s="7">
        <v>1.0</v>
      </c>
      <c r="C6" s="7">
        <v>0.81</v>
      </c>
      <c r="D6" s="9">
        <f t="shared" si="1"/>
        <v>0.81</v>
      </c>
      <c r="E6" s="13" t="s">
        <v>16</v>
      </c>
      <c r="F6" s="6" t="s">
        <v>17</v>
      </c>
      <c r="G6" s="10"/>
    </row>
    <row r="7" ht="22.5" customHeight="1">
      <c r="A7" s="6" t="s">
        <v>18</v>
      </c>
      <c r="B7" s="7">
        <v>1.0</v>
      </c>
      <c r="C7" s="11">
        <v>5.0</v>
      </c>
      <c r="D7" s="9">
        <f t="shared" si="1"/>
        <v>5</v>
      </c>
      <c r="E7" s="14"/>
      <c r="F7" s="6" t="s">
        <v>19</v>
      </c>
      <c r="G7" s="15" t="s">
        <v>20</v>
      </c>
    </row>
    <row r="8" ht="22.5" customHeight="1">
      <c r="A8" s="6" t="s">
        <v>21</v>
      </c>
      <c r="B8" s="7">
        <v>1.0</v>
      </c>
      <c r="C8" s="7">
        <v>1.27</v>
      </c>
      <c r="D8" s="9">
        <f t="shared" si="1"/>
        <v>1.27</v>
      </c>
      <c r="E8" s="13" t="s">
        <v>22</v>
      </c>
      <c r="F8" s="6" t="s">
        <v>23</v>
      </c>
      <c r="G8" s="10"/>
    </row>
    <row r="9" ht="22.5" customHeight="1">
      <c r="B9" s="4"/>
      <c r="C9" s="4"/>
      <c r="D9" s="9"/>
      <c r="E9" s="7"/>
      <c r="F9" s="6"/>
      <c r="G9" s="10"/>
    </row>
    <row r="10" ht="22.5" customHeight="1">
      <c r="A10" s="3" t="s">
        <v>24</v>
      </c>
      <c r="B10" s="4"/>
      <c r="C10" s="4"/>
      <c r="D10" s="9"/>
      <c r="E10" s="7"/>
      <c r="F10" s="6"/>
      <c r="G10" s="10"/>
    </row>
    <row r="11" ht="22.5" customHeight="1">
      <c r="A11" s="6" t="s">
        <v>25</v>
      </c>
      <c r="B11" s="7">
        <v>1.0</v>
      </c>
      <c r="C11" s="11">
        <v>25.0</v>
      </c>
      <c r="D11" s="9">
        <f t="shared" ref="D11:D13" si="2">B11*C11</f>
        <v>25</v>
      </c>
      <c r="E11" s="7"/>
      <c r="F11" s="6" t="s">
        <v>26</v>
      </c>
      <c r="G11" s="10"/>
    </row>
    <row r="12" ht="22.5" customHeight="1">
      <c r="A12" s="6" t="s">
        <v>27</v>
      </c>
      <c r="B12" s="9">
        <v>1.0</v>
      </c>
      <c r="C12" s="8">
        <v>30.0</v>
      </c>
      <c r="D12" s="8">
        <f t="shared" si="2"/>
        <v>30</v>
      </c>
      <c r="E12" s="12"/>
      <c r="F12" s="6" t="s">
        <v>28</v>
      </c>
      <c r="G12" s="10"/>
    </row>
    <row r="13" ht="22.5" customHeight="1">
      <c r="A13" s="6" t="s">
        <v>29</v>
      </c>
      <c r="B13" s="7">
        <v>1.0</v>
      </c>
      <c r="C13" s="7">
        <v>0.81</v>
      </c>
      <c r="D13" s="9">
        <f t="shared" si="2"/>
        <v>0.81</v>
      </c>
      <c r="E13" s="13" t="s">
        <v>30</v>
      </c>
      <c r="F13" s="6" t="s">
        <v>31</v>
      </c>
      <c r="G13" s="10"/>
    </row>
    <row r="14" ht="22.5" customHeight="1">
      <c r="B14" s="4"/>
      <c r="C14" s="4"/>
      <c r="D14" s="9"/>
      <c r="E14" s="7"/>
      <c r="F14" s="6"/>
      <c r="G14" s="10"/>
    </row>
    <row r="15" ht="22.5" customHeight="1">
      <c r="A15" s="3" t="s">
        <v>32</v>
      </c>
      <c r="B15" s="4"/>
      <c r="C15" s="4"/>
      <c r="D15" s="9"/>
      <c r="E15" s="7"/>
      <c r="F15" s="6"/>
      <c r="G15" s="10"/>
    </row>
    <row r="16" ht="22.5" customHeight="1">
      <c r="A16" s="6" t="s">
        <v>33</v>
      </c>
      <c r="B16" s="16">
        <v>12.0</v>
      </c>
      <c r="C16" s="17">
        <v>2.0</v>
      </c>
      <c r="D16" s="9">
        <f t="shared" ref="D16:D21" si="3">B16*C16</f>
        <v>24</v>
      </c>
      <c r="E16" s="12"/>
      <c r="F16" s="6" t="s">
        <v>34</v>
      </c>
      <c r="G16" s="10"/>
    </row>
    <row r="17" ht="22.5" customHeight="1">
      <c r="A17" s="6" t="s">
        <v>35</v>
      </c>
      <c r="B17" s="16">
        <v>1.0</v>
      </c>
      <c r="C17" s="17">
        <v>1.6</v>
      </c>
      <c r="D17" s="9">
        <f t="shared" si="3"/>
        <v>1.6</v>
      </c>
      <c r="E17" s="12"/>
      <c r="F17" s="6" t="s">
        <v>36</v>
      </c>
      <c r="G17" s="10"/>
    </row>
    <row r="18" ht="22.5" customHeight="1">
      <c r="A18" s="6" t="s">
        <v>37</v>
      </c>
      <c r="B18" s="16">
        <v>3.0</v>
      </c>
      <c r="C18" s="17">
        <v>8.0</v>
      </c>
      <c r="D18" s="9">
        <f t="shared" si="3"/>
        <v>24</v>
      </c>
      <c r="E18" s="12"/>
      <c r="F18" s="6" t="s">
        <v>38</v>
      </c>
      <c r="G18" s="10"/>
    </row>
    <row r="19" ht="22.5" customHeight="1">
      <c r="A19" s="6" t="s">
        <v>39</v>
      </c>
      <c r="B19" s="17">
        <v>16.0</v>
      </c>
      <c r="C19" s="17">
        <v>0.68</v>
      </c>
      <c r="D19" s="9">
        <f t="shared" si="3"/>
        <v>10.88</v>
      </c>
      <c r="E19" s="12"/>
      <c r="F19" s="6" t="s">
        <v>40</v>
      </c>
      <c r="G19" s="10"/>
    </row>
    <row r="20" ht="22.5" customHeight="1">
      <c r="A20" s="6" t="s">
        <v>41</v>
      </c>
      <c r="B20" s="9">
        <v>4.0</v>
      </c>
      <c r="C20" s="8">
        <v>1.5</v>
      </c>
      <c r="D20" s="9">
        <f t="shared" si="3"/>
        <v>6</v>
      </c>
      <c r="E20" s="12"/>
      <c r="F20" s="6" t="s">
        <v>42</v>
      </c>
      <c r="G20" s="10"/>
    </row>
    <row r="21" ht="22.5" customHeight="1">
      <c r="A21" s="6" t="s">
        <v>43</v>
      </c>
      <c r="B21" s="9">
        <v>2.0</v>
      </c>
      <c r="C21" s="8">
        <v>1.8</v>
      </c>
      <c r="D21" s="9">
        <f t="shared" si="3"/>
        <v>3.6</v>
      </c>
      <c r="E21" s="12"/>
      <c r="F21" s="6" t="s">
        <v>44</v>
      </c>
      <c r="G21" s="10"/>
    </row>
    <row r="22" ht="22.5" customHeight="1">
      <c r="B22" s="4"/>
      <c r="C22" s="4"/>
      <c r="D22" s="9"/>
      <c r="F22" s="6"/>
      <c r="G22" s="10"/>
    </row>
    <row r="23" ht="22.5" customHeight="1">
      <c r="A23" s="3" t="s">
        <v>45</v>
      </c>
      <c r="B23" s="4"/>
      <c r="C23" s="4"/>
      <c r="D23" s="9"/>
      <c r="F23" s="6"/>
      <c r="G23" s="10"/>
    </row>
    <row r="24" ht="22.5" customHeight="1">
      <c r="A24" s="6" t="s">
        <v>46</v>
      </c>
      <c r="B24" s="9">
        <v>2.0</v>
      </c>
      <c r="C24" s="8">
        <v>10.0</v>
      </c>
      <c r="D24" s="9">
        <f t="shared" ref="D24:D26" si="4">B24*C24</f>
        <v>20</v>
      </c>
      <c r="E24" s="12"/>
      <c r="F24" s="6" t="s">
        <v>47</v>
      </c>
      <c r="G24" s="15" t="s">
        <v>48</v>
      </c>
    </row>
    <row r="25" ht="22.5" customHeight="1">
      <c r="A25" s="6" t="s">
        <v>49</v>
      </c>
      <c r="B25" s="8">
        <v>2.0</v>
      </c>
      <c r="C25" s="8">
        <v>4.0</v>
      </c>
      <c r="D25" s="9">
        <f t="shared" si="4"/>
        <v>8</v>
      </c>
      <c r="E25" s="12"/>
      <c r="F25" s="6" t="s">
        <v>50</v>
      </c>
      <c r="G25" s="10"/>
    </row>
    <row r="26" ht="22.5" customHeight="1">
      <c r="A26" s="6" t="s">
        <v>51</v>
      </c>
      <c r="B26" s="17">
        <v>0.0</v>
      </c>
      <c r="C26" s="17">
        <v>4.33</v>
      </c>
      <c r="D26" s="8">
        <f t="shared" si="4"/>
        <v>0</v>
      </c>
      <c r="E26" s="12"/>
      <c r="F26" s="6" t="s">
        <v>52</v>
      </c>
      <c r="G26" s="10"/>
    </row>
    <row r="27" ht="22.5" customHeight="1">
      <c r="B27" s="4"/>
      <c r="C27" s="4"/>
      <c r="D27" s="9"/>
      <c r="F27" s="6"/>
      <c r="G27" s="10"/>
    </row>
    <row r="28" ht="22.5" customHeight="1">
      <c r="A28" s="3" t="s">
        <v>53</v>
      </c>
      <c r="B28" s="4"/>
      <c r="C28" s="4"/>
      <c r="D28" s="9"/>
      <c r="F28" s="6"/>
      <c r="G28" s="10"/>
    </row>
    <row r="29" ht="22.5" customHeight="1">
      <c r="A29" s="6" t="s">
        <v>54</v>
      </c>
      <c r="B29" s="9">
        <v>1.0</v>
      </c>
      <c r="C29" s="9">
        <v>1.33</v>
      </c>
      <c r="D29" s="9">
        <f t="shared" ref="D29:D34" si="5">B29*C29</f>
        <v>1.33</v>
      </c>
      <c r="E29" s="13" t="s">
        <v>55</v>
      </c>
      <c r="F29" s="6" t="s">
        <v>56</v>
      </c>
      <c r="G29" s="10"/>
    </row>
    <row r="30" ht="22.5" customHeight="1">
      <c r="A30" s="6" t="s">
        <v>57</v>
      </c>
      <c r="B30" s="9">
        <v>3.0</v>
      </c>
      <c r="C30" s="9">
        <v>1.68</v>
      </c>
      <c r="D30" s="9">
        <f t="shared" si="5"/>
        <v>5.04</v>
      </c>
      <c r="E30" s="13" t="s">
        <v>58</v>
      </c>
      <c r="F30" s="6" t="s">
        <v>56</v>
      </c>
      <c r="G30" s="10"/>
    </row>
    <row r="31" ht="22.5" customHeight="1">
      <c r="A31" s="6" t="s">
        <v>59</v>
      </c>
      <c r="B31" s="16">
        <v>2.0</v>
      </c>
      <c r="C31" s="16">
        <v>1.19</v>
      </c>
      <c r="D31" s="9">
        <f t="shared" si="5"/>
        <v>2.38</v>
      </c>
      <c r="E31" s="13" t="s">
        <v>60</v>
      </c>
      <c r="F31" s="6" t="s">
        <v>56</v>
      </c>
      <c r="G31" s="10"/>
    </row>
    <row r="32" ht="22.5" customHeight="1">
      <c r="A32" s="6" t="s">
        <v>61</v>
      </c>
      <c r="B32" s="17">
        <v>1.0</v>
      </c>
      <c r="C32" s="17">
        <v>4.0</v>
      </c>
      <c r="D32" s="9">
        <f t="shared" si="5"/>
        <v>4</v>
      </c>
      <c r="E32" s="12"/>
      <c r="F32" s="6" t="s">
        <v>56</v>
      </c>
      <c r="G32" s="10"/>
    </row>
    <row r="33" ht="22.5" customHeight="1">
      <c r="A33" s="6" t="s">
        <v>62</v>
      </c>
      <c r="B33" s="9">
        <v>2.0</v>
      </c>
      <c r="C33" s="8">
        <v>4.33</v>
      </c>
      <c r="D33" s="9">
        <f t="shared" si="5"/>
        <v>8.66</v>
      </c>
      <c r="E33" s="12"/>
      <c r="F33" s="6" t="s">
        <v>63</v>
      </c>
      <c r="G33" s="10"/>
    </row>
    <row r="34" ht="22.5" customHeight="1">
      <c r="A34" s="6" t="s">
        <v>64</v>
      </c>
      <c r="B34" s="9">
        <v>4.0</v>
      </c>
      <c r="C34" s="9">
        <v>0.45</v>
      </c>
      <c r="D34" s="9">
        <f t="shared" si="5"/>
        <v>1.8</v>
      </c>
      <c r="E34" s="13" t="s">
        <v>65</v>
      </c>
      <c r="F34" s="6" t="s">
        <v>66</v>
      </c>
      <c r="G34" s="10"/>
    </row>
    <row r="35" ht="22.5" customHeight="1">
      <c r="B35" s="4"/>
      <c r="C35" s="4"/>
      <c r="D35" s="9"/>
      <c r="F35" s="6"/>
      <c r="G35" s="10"/>
    </row>
    <row r="36" ht="22.5" customHeight="1">
      <c r="A36" s="3" t="s">
        <v>67</v>
      </c>
      <c r="B36" s="4"/>
      <c r="C36" s="4"/>
      <c r="D36" s="9"/>
      <c r="F36" s="6"/>
      <c r="G36" s="10"/>
    </row>
    <row r="37" ht="22.5" customHeight="1">
      <c r="A37" s="6" t="s">
        <v>68</v>
      </c>
      <c r="B37" s="9">
        <v>1.0</v>
      </c>
      <c r="C37" s="8">
        <v>15.0</v>
      </c>
      <c r="D37" s="9">
        <f t="shared" ref="D37:D45" si="6">B37*C37</f>
        <v>15</v>
      </c>
      <c r="E37" s="12"/>
      <c r="F37" s="6" t="s">
        <v>69</v>
      </c>
      <c r="G37" s="10"/>
    </row>
    <row r="38" ht="22.5" customHeight="1">
      <c r="A38" s="6" t="s">
        <v>70</v>
      </c>
      <c r="B38" s="9">
        <v>1.0</v>
      </c>
      <c r="C38" s="8">
        <v>5.0</v>
      </c>
      <c r="D38" s="9">
        <f t="shared" si="6"/>
        <v>5</v>
      </c>
      <c r="E38" s="12"/>
      <c r="F38" s="6" t="s">
        <v>71</v>
      </c>
      <c r="G38" s="10"/>
    </row>
    <row r="39" ht="22.5" customHeight="1">
      <c r="A39" s="6" t="s">
        <v>72</v>
      </c>
      <c r="B39" s="9">
        <v>6.0</v>
      </c>
      <c r="C39" s="9">
        <v>0.16</v>
      </c>
      <c r="D39" s="9">
        <f t="shared" si="6"/>
        <v>0.96</v>
      </c>
      <c r="E39" s="12"/>
      <c r="F39" s="6" t="s">
        <v>73</v>
      </c>
      <c r="G39" s="10"/>
    </row>
    <row r="40" ht="22.5" customHeight="1">
      <c r="A40" s="6" t="s">
        <v>74</v>
      </c>
      <c r="B40" s="9">
        <v>1.0</v>
      </c>
      <c r="C40" s="8">
        <v>1.0</v>
      </c>
      <c r="D40" s="9">
        <f t="shared" si="6"/>
        <v>1</v>
      </c>
      <c r="E40" s="12"/>
      <c r="F40" s="6" t="s">
        <v>75</v>
      </c>
      <c r="G40" s="10"/>
    </row>
    <row r="41" ht="22.5" customHeight="1">
      <c r="A41" s="6" t="s">
        <v>76</v>
      </c>
      <c r="B41" s="9">
        <v>1.0</v>
      </c>
      <c r="C41" s="9">
        <v>1.03</v>
      </c>
      <c r="D41" s="9">
        <f t="shared" si="6"/>
        <v>1.03</v>
      </c>
      <c r="E41" s="12"/>
      <c r="F41" s="6" t="s">
        <v>77</v>
      </c>
      <c r="G41" s="10"/>
    </row>
    <row r="42" ht="22.5" customHeight="1">
      <c r="A42" s="6" t="s">
        <v>78</v>
      </c>
      <c r="B42" s="9">
        <v>1.0</v>
      </c>
      <c r="C42" s="8">
        <v>5.85</v>
      </c>
      <c r="D42" s="9">
        <f t="shared" si="6"/>
        <v>5.85</v>
      </c>
      <c r="E42" s="12"/>
      <c r="F42" s="6" t="s">
        <v>79</v>
      </c>
      <c r="G42" s="10"/>
    </row>
    <row r="43" ht="22.5" customHeight="1">
      <c r="A43" s="6" t="s">
        <v>80</v>
      </c>
      <c r="B43" s="9">
        <v>1.0</v>
      </c>
      <c r="C43" s="9">
        <v>5.48</v>
      </c>
      <c r="D43" s="9">
        <f t="shared" si="6"/>
        <v>5.48</v>
      </c>
      <c r="E43" s="12"/>
      <c r="F43" s="6" t="s">
        <v>81</v>
      </c>
      <c r="G43" s="10"/>
    </row>
    <row r="44" ht="22.5" customHeight="1">
      <c r="A44" s="6" t="s">
        <v>82</v>
      </c>
      <c r="B44" s="16">
        <v>1.0</v>
      </c>
      <c r="C44" s="17">
        <v>10.0</v>
      </c>
      <c r="D44" s="8">
        <f t="shared" si="6"/>
        <v>10</v>
      </c>
      <c r="E44" s="12"/>
      <c r="F44" s="6" t="s">
        <v>83</v>
      </c>
      <c r="G44" s="10"/>
    </row>
    <row r="45" ht="22.5" customHeight="1">
      <c r="A45" s="6" t="s">
        <v>84</v>
      </c>
      <c r="B45" s="17">
        <v>1.0</v>
      </c>
      <c r="C45" s="17">
        <v>10.0</v>
      </c>
      <c r="D45" s="8">
        <f t="shared" si="6"/>
        <v>10</v>
      </c>
      <c r="E45" s="12"/>
      <c r="F45" s="6" t="s">
        <v>85</v>
      </c>
      <c r="G45" s="10"/>
    </row>
    <row r="46">
      <c r="A46" s="18"/>
      <c r="D46" s="19"/>
    </row>
    <row r="47">
      <c r="A47" s="18"/>
      <c r="B47" s="20" t="s">
        <v>86</v>
      </c>
      <c r="C47" s="21">
        <f>SUM(Table1[Total])</f>
        <v>263.36</v>
      </c>
      <c r="D47" s="19"/>
    </row>
    <row r="48">
      <c r="A48" s="18"/>
      <c r="D48" s="19"/>
    </row>
    <row r="49">
      <c r="D49" s="19"/>
    </row>
    <row r="50">
      <c r="D50" s="19"/>
    </row>
    <row r="51">
      <c r="D51" s="19"/>
    </row>
    <row r="52">
      <c r="D52" s="19"/>
    </row>
    <row r="53">
      <c r="D53" s="19"/>
    </row>
    <row r="54">
      <c r="D54" s="19"/>
    </row>
  </sheetData>
  <dataValidations>
    <dataValidation type="custom" allowBlank="1" showDropDown="1" sqref="B2:D45">
      <formula1>AND(ISNUMBER(B2),(NOT(OR(NOT(ISERROR(DATEVALUE(B2))), AND(ISNUMBER(B2), LEFT(CELL("format", B2))="D")))))</formula1>
    </dataValidation>
  </dataValidations>
  <hyperlinks>
    <hyperlink r:id="rId1" ref="E5"/>
    <hyperlink r:id="rId2" ref="E6"/>
    <hyperlink r:id="rId3" ref="G7"/>
    <hyperlink r:id="rId4" ref="E8"/>
    <hyperlink r:id="rId5" ref="E13"/>
    <hyperlink r:id="rId6" ref="G24"/>
    <hyperlink r:id="rId7" ref="E29"/>
    <hyperlink r:id="rId8" ref="E30"/>
    <hyperlink r:id="rId9" ref="E31"/>
    <hyperlink r:id="rId10" ref="E34"/>
  </hyperlinks>
  <drawing r:id="rId11"/>
  <tableParts count="1">
    <tablePart r:id="rId13"/>
  </tableParts>
</worksheet>
</file>